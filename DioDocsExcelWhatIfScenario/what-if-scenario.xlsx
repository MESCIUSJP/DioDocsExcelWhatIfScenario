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escius-my.sharepoint.com/personal/kuni_ujiie_mescius_com/Documents/デスクトップ/DioDocsExcelWhatIf/DioDocsExcelWhatIf/"/>
    </mc:Choice>
  </mc:AlternateContent>
  <xr:revisionPtr revIDLastSave="184" documentId="11_AD4D066CA252ABDACC10481051D6CA6273EEDF54" xr6:coauthVersionLast="47" xr6:coauthVersionMax="47" xr10:uidLastSave="{7B0C7186-5110-42CF-8034-3EBD93538BFF}"/>
  <bookViews>
    <workbookView xWindow="-96" yWindow="-96" windowWidth="23232" windowHeight="13872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4" l="1" a="1"/>
  <c r="L1" i="4" s="1"/>
  <c r="F6" i="4"/>
  <c r="H6" i="4" s="1"/>
  <c r="F5" i="4"/>
  <c r="H5" i="4" s="1"/>
  <c r="F4" i="4"/>
  <c r="F3" i="4"/>
  <c r="G3" i="4" s="1"/>
  <c r="I3" i="4" s="1"/>
  <c r="F2" i="4"/>
  <c r="H2" i="4" s="1"/>
  <c r="G4" i="4" l="1"/>
  <c r="I4" i="4" s="1"/>
  <c r="H4" i="4"/>
  <c r="H3" i="4"/>
  <c r="G5" i="4"/>
  <c r="I5" i="4" s="1"/>
  <c r="G2" i="4"/>
  <c r="I2" i="4" s="1"/>
  <c r="G6" i="4"/>
  <c r="I6" i="4" s="1"/>
  <c r="L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<sst xmlns="http://schemas.openxmlformats.org/spreadsheetml/2006/main" count="16" uniqueCount="16">
  <si>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商品名</t>
    <rPh sb="0" eb="3">
      <t>ショウヒンメイ</t>
    </rPh>
    <phoneticPr fontId="1"/>
  </si>
  <si>
    <t>単価</t>
    <rPh sb="0" eb="2">
      <t>タンカ</t>
    </rPh>
    <phoneticPr fontId="1"/>
  </si>
  <si>
    <t>値引き率(%)</t>
    <rPh sb="0" eb="2">
      <t>ネビ</t>
    </rPh>
    <rPh sb="3" eb="4">
      <t>リツ</t>
    </rPh>
    <phoneticPr fontId="1"/>
  </si>
  <si>
    <t>販売数量</t>
    <rPh sb="0" eb="4">
      <t>ハンバイスウリョウ</t>
    </rPh>
    <phoneticPr fontId="1"/>
  </si>
  <si>
    <t>値引き価格</t>
    <phoneticPr fontId="1"/>
  </si>
  <si>
    <t>ランチコースA</t>
    <phoneticPr fontId="1"/>
  </si>
  <si>
    <t>ランチコースB</t>
    <phoneticPr fontId="1"/>
  </si>
  <si>
    <t>ランチコースC</t>
    <phoneticPr fontId="1"/>
  </si>
  <si>
    <t>ランチコースD</t>
    <phoneticPr fontId="1"/>
  </si>
  <si>
    <t>ランチコースE</t>
    <phoneticPr fontId="1"/>
  </si>
  <si>
    <t>総売上</t>
    <phoneticPr fontId="1"/>
  </si>
  <si>
    <t>利益</t>
    <phoneticPr fontId="1"/>
  </si>
  <si>
    <t>総利益</t>
    <rPh sb="0" eb="1">
      <t>ソウ</t>
    </rPh>
    <rPh sb="1" eb="3">
      <t>リエキ</t>
    </rPh>
    <phoneticPr fontId="1"/>
  </si>
  <si>
    <t>費用</t>
    <rPh sb="0" eb="2">
      <t>ヒヨウ</t>
    </rPh>
    <phoneticPr fontId="1"/>
  </si>
  <si>
    <t>総費用</t>
    <rPh sb="0" eb="1">
      <t>ソウ</t>
    </rPh>
    <rPh sb="1" eb="3">
      <t>ヒヨウ</t>
    </rPh>
    <phoneticPr fontId="1"/>
  </si>
  <si>
    <t>利益と損失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</si>
</sst>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¥-411]#,##0;\-[$¥-411]#,##0"/>
    <numFmt numFmtId="177" formatCode="#,##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売り上げ構成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6A-42C5-9681-5666C43A7A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6A-42C5-9681-5666C43A7A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6A-42C5-9681-5666C43A7A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6A-42C5-9681-5666C43A7A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6A-42C5-9681-5666C43A7A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ランチコースA</c:v>
                </c:pt>
                <c:pt idx="1">
                  <c:v>ランチコースB</c:v>
                </c:pt>
                <c:pt idx="2">
                  <c:v>ランチコースC</c:v>
                </c:pt>
                <c:pt idx="3">
                  <c:v>ランチコースD</c:v>
                </c:pt>
                <c:pt idx="4">
                  <c:v>ランチコースE</c:v>
                </c:pt>
              </c:strCache>
            </c:strRef>
          </c:cat>
          <c:val>
            <c:numRef>
              <c:f>Sheet1!$G$2:$G$6</c:f>
              <c:numCache>
                <c:formatCode>[$¥-411]#,##0;\-[$¥-411]#,##0</c:formatCode>
                <c:ptCount val="5"/>
                <c:pt idx="0">
                  <c:v>675000</c:v>
                </c:pt>
                <c:pt idx="1">
                  <c:v>813750</c:v>
                </c:pt>
                <c:pt idx="2">
                  <c:v>837000</c:v>
                </c:pt>
                <c:pt idx="3">
                  <c:v>783750</c:v>
                </c:pt>
                <c:pt idx="4">
                  <c:v>617500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0-41F8-9F4B-F136FC1A7587}"/>
            </c:ext>
          </c:extLst>
        </c:ser>
        <c:dLbls>
          <c:dLblPos val="in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商品別の費用と利益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費用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ランチコースA</c:v>
                </c:pt>
                <c:pt idx="1">
                  <c:v>ランチコースB</c:v>
                </c:pt>
                <c:pt idx="2">
                  <c:v>ランチコースC</c:v>
                </c:pt>
                <c:pt idx="3">
                  <c:v>ランチコースD</c:v>
                </c:pt>
                <c:pt idx="4">
                  <c:v>ランチコースE</c:v>
                </c:pt>
              </c:strCache>
            </c:strRef>
          </c:cat>
          <c:val>
            <c:numRef>
              <c:f>Sheet1!$B$2:$B$6</c:f>
              <c:numCache>
                <c:formatCode>[$¥-411]#,##0;\-[$¥-411]#,##0</c:formatCode>
                <c:ptCount val="5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A-42FB-A424-7105EF9039D8}"/>
            </c:ext>
          </c:extLst>
        </c:ser>
        <c:ser>
          <c:idx val="1"/>
          <c:order val="1"/>
          <c:tx>
            <c:v>利益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ランチコースA</c:v>
                </c:pt>
                <c:pt idx="1">
                  <c:v>ランチコースB</c:v>
                </c:pt>
                <c:pt idx="2">
                  <c:v>ランチコースC</c:v>
                </c:pt>
                <c:pt idx="3">
                  <c:v>ランチコースD</c:v>
                </c:pt>
                <c:pt idx="4">
                  <c:v>ランチコースE</c:v>
                </c:pt>
              </c:strCache>
            </c:strRef>
          </c:cat>
          <c:val>
            <c:numRef>
              <c:f>Sheet1!$H$2:$H$6</c:f>
              <c:numCache>
                <c:formatCode>[$¥-411]#,##0;\-[$¥-411]#,##0</c:formatCode>
                <c:ptCount val="5"/>
                <c:pt idx="0">
                  <c:v>1250</c:v>
                </c:pt>
                <c:pt idx="1">
                  <c:v>2005</c:v>
                </c:pt>
                <c:pt idx="2">
                  <c:v>2685</c:v>
                </c:pt>
                <c:pt idx="3">
                  <c:v>3475</c:v>
                </c:pt>
                <c:pt idx="4">
                  <c:v>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A-42FB-A424-7105EF90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4382799"/>
        <c:axId val="804388079"/>
      </c:barChart>
      <c:catAx>
        <c:axId val="80438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4388079"/>
        <c:crosses val="autoZero"/>
        <c:auto val="1"/>
        <c:lblAlgn val="ctr"/>
        <c:lblOffset val="100"/>
        <c:noMultiLvlLbl val="0"/>
      </c:catAx>
      <c:valAx>
        <c:axId val="8043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¥-411]#,##0;\-[$¥-411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4382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36B75A5-59EA-83D7-F465-6195F0AC1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D009FC7-81B8-8D60-54AF-CA576BCE9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4E93-4CB3-46E9-BEF4-1FA648B9D2BB}">
  <dimension ref="A1:L6"/>
  <sheetViews>
    <sheetView tabSelected="1" zoomScale="90" zoomScaleNormal="90" workbookViewId="0">
      <selection activeCell="L3" sqref="L3:L4"/>
    </sheetView>
  </sheetViews>
  <sheetFormatPr defaultRowHeight="17.7"/>
  <cols>
    <col min="1" max="12" width="13.6171875" customWidth="1"/>
  </cols>
  <sheetData>
    <row r="1" spans="1:12" ht="18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12</v>
      </c>
      <c r="K1" s="6" t="s">
        <v>14</v>
      </c>
      <c r="L1" s="7" cm="1">
        <f t="array" ref="L1">SUM(B2:B6*E2:E6)</f>
        <v>1375000</v>
      </c>
    </row>
    <row r="2" spans="1:12">
      <c r="A2" s="2" t="s">
        <v>5</v>
      </c>
      <c r="B2" s="3">
        <v>1000</v>
      </c>
      <c r="C2" s="3">
        <v>2500</v>
      </c>
      <c r="D2" s="4">
        <v>0.1</v>
      </c>
      <c r="E2" s="5">
        <v>300</v>
      </c>
      <c r="F2" s="3">
        <f>C2-C2*D2</f>
        <v>2250</v>
      </c>
      <c r="G2" s="3">
        <f>E2*F2</f>
        <v>675000</v>
      </c>
      <c r="H2" s="3">
        <f>F2-B2</f>
        <v>1250</v>
      </c>
      <c r="I2" s="3">
        <f>G2-(E2*B2)</f>
        <v>375000</v>
      </c>
      <c r="K2" s="6"/>
      <c r="L2" s="7"/>
    </row>
    <row r="3" spans="1:12">
      <c r="A3" s="2" t="s">
        <v>6</v>
      </c>
      <c r="B3" s="3">
        <v>1250</v>
      </c>
      <c r="C3" s="3">
        <v>3500</v>
      </c>
      <c r="D3" s="4">
        <v>7.0000000000000007E-2</v>
      </c>
      <c r="E3" s="5">
        <v>250</v>
      </c>
      <c r="F3" s="3">
        <f>C3-C3*D3</f>
        <v>3255</v>
      </c>
      <c r="G3" s="3">
        <f>E3*F3</f>
        <v>813750</v>
      </c>
      <c r="H3" s="3">
        <f>F3-B3</f>
        <v>2005</v>
      </c>
      <c r="I3" s="3">
        <f>G3-(E3*B3)</f>
        <v>501250</v>
      </c>
      <c r="K3" s="6" t="s">
        <v>15</v>
      </c>
      <c r="L3" s="7">
        <f>SUM(G2:G6)-L1</f>
        <v>2352000</v>
      </c>
    </row>
    <row r="4" spans="1:12">
      <c r="A4" s="2" t="s">
        <v>7</v>
      </c>
      <c r="B4" s="3">
        <v>1500</v>
      </c>
      <c r="C4" s="3">
        <v>4500</v>
      </c>
      <c r="D4" s="4">
        <v>7.0000000000000007E-2</v>
      </c>
      <c r="E4" s="5">
        <v>200</v>
      </c>
      <c r="F4" s="3">
        <f>C4-C4*D4</f>
        <v>4185</v>
      </c>
      <c r="G4" s="3">
        <f>E4*F4</f>
        <v>837000</v>
      </c>
      <c r="H4" s="3">
        <f>F4-B4</f>
        <v>2685</v>
      </c>
      <c r="I4" s="3">
        <f>G4-(E4*B4)</f>
        <v>537000</v>
      </c>
      <c r="K4" s="6"/>
      <c r="L4" s="7"/>
    </row>
    <row r="5" spans="1:12">
      <c r="A5" s="2" t="s">
        <v>8</v>
      </c>
      <c r="B5" s="3">
        <v>1750</v>
      </c>
      <c r="C5" s="3">
        <v>5500</v>
      </c>
      <c r="D5" s="4">
        <v>0.05</v>
      </c>
      <c r="E5" s="5">
        <v>150</v>
      </c>
      <c r="F5" s="3">
        <f>C5-C5*D5</f>
        <v>5225</v>
      </c>
      <c r="G5" s="3">
        <f>E5*F5</f>
        <v>783750</v>
      </c>
      <c r="H5" s="3">
        <f>F5-B5</f>
        <v>3475</v>
      </c>
      <c r="I5" s="3">
        <f>G5-(E5*B5)</f>
        <v>521250</v>
      </c>
    </row>
    <row r="6" spans="1:12">
      <c r="A6" s="2" t="s">
        <v>9</v>
      </c>
      <c r="B6" s="3">
        <v>2000</v>
      </c>
      <c r="C6" s="3">
        <v>6500</v>
      </c>
      <c r="D6" s="4">
        <v>0.05</v>
      </c>
      <c r="E6" s="5">
        <v>100</v>
      </c>
      <c r="F6" s="3">
        <f>C6-C6*D6</f>
        <v>6175</v>
      </c>
      <c r="G6" s="3">
        <f>E6*F6</f>
        <v>617500</v>
      </c>
      <c r="H6" s="3">
        <f>F6-B6</f>
        <v>4175</v>
      </c>
      <c r="I6" s="3">
        <f>G6-(E6*B6)</f>
        <v>417500</v>
      </c>
    </row>
  </sheetData>
  <mergeCells count="4">
    <mergeCell ref="K1:K2"/>
    <mergeCell ref="L1:L2"/>
    <mergeCell ref="K3:K4"/>
    <mergeCell ref="L3:L4"/>
  </mergeCells>
  <phoneticPr fontId="1"/>
  <conditionalFormatting sqref="L3:L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1a241c-ebd3-42ef-b0a7-30f545b2b503}" enabled="1" method="Privileged" siteId="{0da37956-1e3f-43d3-a431-d53393d260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 Ujiie</dc:creator>
  <cp:lastModifiedBy>Kuni Ujiie</cp:lastModifiedBy>
  <dcterms:created xsi:type="dcterms:W3CDTF">2015-06-05T18:19:34Z</dcterms:created>
  <dcterms:modified xsi:type="dcterms:W3CDTF">2025-04-11T08:13:15Z</dcterms:modified>
</cp:coreProperties>
</file>